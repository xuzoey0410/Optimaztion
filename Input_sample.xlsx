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uzi\Desktop\Demand Project\"/>
    </mc:Choice>
  </mc:AlternateContent>
  <xr:revisionPtr revIDLastSave="0" documentId="13_ncr:1_{FA8D2FF5-37C0-4F03-A5A2-CBB6E497EB7B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Parameter_Flow" sheetId="1" r:id="rId1"/>
    <sheet name="Parameter_Product" sheetId="2" r:id="rId2"/>
    <sheet name="Demand_Input" sheetId="3" r:id="rId3"/>
    <sheet name="Invent_Ex_Input" sheetId="4" r:id="rId4"/>
    <sheet name="Target and Constrain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<sst xmlns="http://schemas.openxmlformats.org/spreadsheetml/2006/main" count="76" uniqueCount="48">
  <si>
    <t>Stages</t>
  </si>
  <si>
    <t>Time/Day</t>
  </si>
  <si>
    <t>Time/Week</t>
  </si>
  <si>
    <t xml:space="preserve">Foundry (UMC) </t>
  </si>
  <si>
    <t>Bump process @ Amkor</t>
  </si>
  <si>
    <t>Testing @ Amkor</t>
  </si>
  <si>
    <t>DPS @ Amkor</t>
  </si>
  <si>
    <t>DC</t>
  </si>
  <si>
    <t>Customer CM location</t>
  </si>
  <si>
    <t>Transist Time</t>
  </si>
  <si>
    <t>Yield</t>
  </si>
  <si>
    <t>CPW</t>
  </si>
  <si>
    <t>Basic Type</t>
  </si>
  <si>
    <t>Product</t>
  </si>
  <si>
    <t>M6247A</t>
  </si>
  <si>
    <t>BGSA400CC</t>
  </si>
  <si>
    <t>M6242A</t>
  </si>
  <si>
    <t>BGSA440CC</t>
  </si>
  <si>
    <t>M6233A</t>
  </si>
  <si>
    <t>BGSA500DC</t>
  </si>
  <si>
    <t>M6235A</t>
  </si>
  <si>
    <t>BGSA330DC</t>
  </si>
  <si>
    <t>M6234A</t>
  </si>
  <si>
    <t>BGSA220DC</t>
  </si>
  <si>
    <t>M6235</t>
  </si>
  <si>
    <t>BGSA 330DC</t>
  </si>
  <si>
    <t>Wafer / tester / week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</si>
  <si>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</si>
  <si>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</si>
  <si>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</si>
  <si>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</si>
  <si>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</si>
  <si>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</si>
  <si>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</si>
  <si>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</si>
  <si>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</si>
  <si>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</si>
  <si>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</si>
  <si>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</si>
  <si>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</si>
  <si>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</si>
  <si>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</si>
  <si>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</si>
  <si>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Exisitng DC inventories</t>
  </si>
  <si>
    <t>Columns</t>
  </si>
  <si>
    <t>Value</t>
  </si>
  <si>
    <t>Target Reach Level</t>
  </si>
  <si>
    <t>Tester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</si>
</sst>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0" borderId="1" xfId="0" applyFont="1" applyBorder="1"/>
    <xf numFmtId="164" fontId="0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="130" zoomScaleNormal="130" workbookViewId="0">
      <selection activeCell="A18" sqref="A18"/>
    </sheetView>
  </sheetViews>
  <sheetFormatPr defaultRowHeight="14.5" x14ac:dyDescent="0.35"/>
  <cols>
    <col min="1" max="1" width="22.1796875" bestFit="1" customWidth="1"/>
    <col min="2" max="2" width="14.6328125" customWidth="1"/>
    <col min="3" max="3" width="14.81640625" customWidth="1"/>
    <col min="4" max="4" width="12.36328125" bestFit="1" customWidth="1"/>
  </cols>
  <sheetData>
    <row r="1" spans="1:4" x14ac:dyDescent="0.35">
      <c r="A1" s="8" t="s">
        <v>0</v>
      </c>
      <c r="B1" s="8" t="s">
        <v>1</v>
      </c>
      <c r="C1" s="8" t="s">
        <v>2</v>
      </c>
      <c r="D1" s="8" t="s">
        <v>10</v>
      </c>
    </row>
    <row r="2" spans="1:4" x14ac:dyDescent="0.35">
      <c r="A2" s="2" t="s">
        <v>3</v>
      </c>
      <c r="B2" s="3">
        <v>56</v>
      </c>
      <c r="C2" s="3">
        <f xml:space="preserve"> CEILING(B2/7, 1)</f>
        <v>8</v>
      </c>
      <c r="D2" s="4">
        <v>1</v>
      </c>
    </row>
    <row r="3" spans="1:4" x14ac:dyDescent="0.35">
      <c r="A3" s="3" t="s">
        <v>9</v>
      </c>
      <c r="B3" s="3">
        <v>5</v>
      </c>
      <c r="C3" s="3">
        <f t="shared" ref="C3:C12" si="0" xml:space="preserve"> CEILING(B3/7, 1)</f>
        <v>1</v>
      </c>
      <c r="D3" s="3"/>
    </row>
    <row r="4" spans="1:4" x14ac:dyDescent="0.35">
      <c r="A4" s="2" t="s">
        <v>4</v>
      </c>
      <c r="B4" s="3">
        <v>14</v>
      </c>
      <c r="C4" s="3">
        <f t="shared" si="0"/>
        <v>2</v>
      </c>
      <c r="D4" s="5">
        <v>0.999</v>
      </c>
    </row>
    <row r="5" spans="1:4" x14ac:dyDescent="0.35">
      <c r="A5" s="3" t="s">
        <v>9</v>
      </c>
      <c r="B5" s="3">
        <v>2</v>
      </c>
      <c r="C5" s="3">
        <f t="shared" si="0"/>
        <v>1</v>
      </c>
      <c r="D5" s="3"/>
    </row>
    <row r="6" spans="1:4" x14ac:dyDescent="0.35">
      <c r="A6" s="2" t="s">
        <v>5</v>
      </c>
      <c r="B6" s="3">
        <v>7</v>
      </c>
      <c r="C6" s="3">
        <f t="shared" si="0"/>
        <v>1</v>
      </c>
      <c r="D6" s="4">
        <v>0.96</v>
      </c>
    </row>
    <row r="7" spans="1:4" x14ac:dyDescent="0.35">
      <c r="A7" s="3" t="s">
        <v>9</v>
      </c>
      <c r="B7" s="3">
        <v>1</v>
      </c>
      <c r="C7" s="3">
        <f t="shared" si="0"/>
        <v>1</v>
      </c>
      <c r="D7" s="3"/>
    </row>
    <row r="8" spans="1:4" x14ac:dyDescent="0.35">
      <c r="A8" s="2" t="s">
        <v>6</v>
      </c>
      <c r="B8" s="3">
        <v>14</v>
      </c>
      <c r="C8" s="3">
        <f t="shared" si="0"/>
        <v>2</v>
      </c>
      <c r="D8" s="4">
        <v>0.98</v>
      </c>
    </row>
    <row r="9" spans="1:4" x14ac:dyDescent="0.35">
      <c r="A9" s="3" t="s">
        <v>9</v>
      </c>
      <c r="B9" s="3">
        <v>5</v>
      </c>
      <c r="C9" s="3">
        <f t="shared" si="0"/>
        <v>1</v>
      </c>
      <c r="D9" s="3"/>
    </row>
    <row r="10" spans="1:4" x14ac:dyDescent="0.35">
      <c r="A10" s="1" t="s">
        <v>7</v>
      </c>
      <c r="B10" s="3">
        <v>0</v>
      </c>
      <c r="C10" s="3">
        <f t="shared" si="0"/>
        <v>0</v>
      </c>
      <c r="D10" s="3"/>
    </row>
    <row r="11" spans="1:4" x14ac:dyDescent="0.35">
      <c r="A11" s="3" t="s">
        <v>9</v>
      </c>
      <c r="B11" s="3">
        <v>5</v>
      </c>
      <c r="C11" s="3">
        <f t="shared" si="0"/>
        <v>1</v>
      </c>
      <c r="D11" s="3"/>
    </row>
    <row r="12" spans="1:4" x14ac:dyDescent="0.35">
      <c r="A12" s="2" t="s">
        <v>8</v>
      </c>
      <c r="B12" s="3">
        <v>0</v>
      </c>
      <c r="C12" s="3">
        <f t="shared" si="0"/>
        <v>0</v>
      </c>
      <c r="D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517-D988-4146-BE86-FAE9338D86D1}">
  <dimension ref="A1:D7"/>
  <sheetViews>
    <sheetView workbookViewId="0">
      <selection activeCell="A8" sqref="A8:XFD8"/>
    </sheetView>
  </sheetViews>
  <sheetFormatPr defaultRowHeight="14.5" x14ac:dyDescent="0.35"/>
  <cols>
    <col min="1" max="1" width="14.81640625" bestFit="1" customWidth="1"/>
    <col min="2" max="2" width="13.6328125" customWidth="1"/>
    <col min="3" max="3" width="11" customWidth="1"/>
    <col min="4" max="4" width="19.54296875" customWidth="1"/>
    <col min="5" max="12" width="11" bestFit="1" customWidth="1"/>
    <col min="13" max="18" width="10" bestFit="1" customWidth="1"/>
  </cols>
  <sheetData>
    <row r="1" spans="1:4" x14ac:dyDescent="0.35">
      <c r="A1" s="6" t="s">
        <v>12</v>
      </c>
      <c r="B1" s="6" t="s">
        <v>13</v>
      </c>
      <c r="C1" s="6" t="s">
        <v>11</v>
      </c>
      <c r="D1" s="6" t="s">
        <v>26</v>
      </c>
    </row>
    <row r="2" spans="1:4" x14ac:dyDescent="0.35">
      <c r="A2" s="7" t="s">
        <v>14</v>
      </c>
      <c r="B2" s="7" t="s">
        <v>15</v>
      </c>
      <c r="C2" s="7">
        <v>67370</v>
      </c>
      <c r="D2" s="7">
        <v>15</v>
      </c>
    </row>
    <row r="3" spans="1:4" x14ac:dyDescent="0.35">
      <c r="A3" s="7" t="s">
        <v>16</v>
      </c>
      <c r="B3" s="7" t="s">
        <v>17</v>
      </c>
      <c r="C3" s="7">
        <v>50239</v>
      </c>
      <c r="D3" s="7">
        <v>21</v>
      </c>
    </row>
    <row r="4" spans="1:4" x14ac:dyDescent="0.35">
      <c r="A4" s="7" t="s">
        <v>18</v>
      </c>
      <c r="B4" s="7" t="s">
        <v>19</v>
      </c>
      <c r="C4" s="7">
        <v>50750</v>
      </c>
      <c r="D4" s="7">
        <v>11</v>
      </c>
    </row>
    <row r="5" spans="1:4" x14ac:dyDescent="0.35">
      <c r="A5" s="7" t="s">
        <v>20</v>
      </c>
      <c r="B5" s="7" t="s">
        <v>21</v>
      </c>
      <c r="C5" s="7">
        <v>62900</v>
      </c>
      <c r="D5" s="7">
        <v>18</v>
      </c>
    </row>
    <row r="6" spans="1:4" x14ac:dyDescent="0.35">
      <c r="A6" s="7" t="s">
        <v>22</v>
      </c>
      <c r="B6" s="7" t="s">
        <v>23</v>
      </c>
      <c r="C6" s="7">
        <v>75800</v>
      </c>
      <c r="D6" s="7">
        <v>23</v>
      </c>
    </row>
    <row r="7" spans="1:4" x14ac:dyDescent="0.35">
      <c r="A7" s="7" t="s">
        <v>24</v>
      </c>
      <c r="B7" s="7" t="s">
        <v>25</v>
      </c>
      <c r="C7" s="7">
        <v>62900</v>
      </c>
      <c r="D7" s="7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43C2-7956-4205-9390-C358621DCDCF}">
  <dimension ref="A1:R6"/>
  <sheetViews>
    <sheetView workbookViewId="0">
      <selection activeCell="B11" sqref="B11"/>
    </sheetView>
  </sheetViews>
  <sheetFormatPr defaultRowHeight="14.5" x14ac:dyDescent="0.35"/>
  <cols>
    <col min="2" max="2" width="11.1796875" bestFit="1" customWidth="1"/>
    <col min="3" max="3" width="10.08984375" bestFit="1" customWidth="1"/>
    <col min="4" max="12" width="11" bestFit="1" customWidth="1"/>
    <col min="13" max="18" width="10.08984375" bestFit="1" customWidth="1"/>
  </cols>
  <sheetData>
    <row r="1" spans="1:18" x14ac:dyDescent="0.35">
      <c r="A1" s="9" t="s">
        <v>12</v>
      </c>
      <c r="B1" s="9" t="s">
        <v>13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</row>
    <row r="2" spans="1:18" x14ac:dyDescent="0.35">
      <c r="A2" s="10" t="s">
        <v>14</v>
      </c>
      <c r="B2" s="10" t="s">
        <v>15</v>
      </c>
      <c r="C2" s="11">
        <v>4400000</v>
      </c>
      <c r="D2" s="11">
        <v>22800000</v>
      </c>
      <c r="E2" s="11">
        <v>32400000</v>
      </c>
      <c r="F2" s="11">
        <v>21000000</v>
      </c>
      <c r="G2" s="11">
        <v>18800000</v>
      </c>
      <c r="H2" s="11">
        <v>10800000</v>
      </c>
      <c r="I2" s="11">
        <v>10800000</v>
      </c>
      <c r="J2" s="11">
        <v>13400000</v>
      </c>
      <c r="K2" s="11">
        <v>10800000</v>
      </c>
      <c r="L2" s="11">
        <v>10800000</v>
      </c>
      <c r="M2" s="11">
        <v>6600000</v>
      </c>
      <c r="N2" s="11">
        <v>4000000</v>
      </c>
      <c r="O2" s="11">
        <v>4000000</v>
      </c>
      <c r="P2" s="11">
        <v>1200000</v>
      </c>
      <c r="Q2" s="11">
        <v>800000</v>
      </c>
      <c r="R2" s="11">
        <v>600000</v>
      </c>
    </row>
    <row r="3" spans="1:18" x14ac:dyDescent="0.35">
      <c r="A3" s="10" t="s">
        <v>16</v>
      </c>
      <c r="B3" s="10" t="s">
        <v>17</v>
      </c>
      <c r="C3" s="11">
        <v>4400000</v>
      </c>
      <c r="D3" s="11">
        <v>22800000</v>
      </c>
      <c r="E3" s="11">
        <v>32400000</v>
      </c>
      <c r="F3" s="11">
        <v>21000000</v>
      </c>
      <c r="G3" s="11">
        <v>18800000</v>
      </c>
      <c r="H3" s="11">
        <v>10800000</v>
      </c>
      <c r="I3" s="11">
        <v>10800000</v>
      </c>
      <c r="J3" s="11">
        <v>13400000</v>
      </c>
      <c r="K3" s="11">
        <v>10800000</v>
      </c>
      <c r="L3" s="11">
        <v>10800000</v>
      </c>
      <c r="M3" s="11">
        <v>6600000</v>
      </c>
      <c r="N3" s="11">
        <v>4000000</v>
      </c>
      <c r="O3" s="11">
        <v>4000000</v>
      </c>
      <c r="P3" s="11">
        <v>1200000</v>
      </c>
      <c r="Q3" s="11">
        <v>800000</v>
      </c>
      <c r="R3" s="11">
        <v>600000</v>
      </c>
    </row>
    <row r="4" spans="1:18" x14ac:dyDescent="0.35">
      <c r="A4" s="10" t="s">
        <v>18</v>
      </c>
      <c r="B4" s="10" t="s">
        <v>19</v>
      </c>
      <c r="C4" s="11">
        <v>2200000</v>
      </c>
      <c r="D4" s="11">
        <v>11400000</v>
      </c>
      <c r="E4" s="11">
        <v>16200000</v>
      </c>
      <c r="F4" s="11">
        <v>10500000</v>
      </c>
      <c r="G4" s="11">
        <v>9400000</v>
      </c>
      <c r="H4" s="11">
        <v>5400000</v>
      </c>
      <c r="I4" s="11">
        <v>5400000</v>
      </c>
      <c r="J4" s="11">
        <v>6700000</v>
      </c>
      <c r="K4" s="11">
        <v>5400000</v>
      </c>
      <c r="L4" s="11">
        <v>5400000</v>
      </c>
      <c r="M4" s="11">
        <v>3300000</v>
      </c>
      <c r="N4" s="11">
        <v>2000000</v>
      </c>
      <c r="O4" s="11">
        <v>2000000</v>
      </c>
      <c r="P4" s="11">
        <v>600000</v>
      </c>
      <c r="Q4" s="11">
        <v>400000</v>
      </c>
      <c r="R4" s="11">
        <v>300000</v>
      </c>
    </row>
    <row r="5" spans="1:18" x14ac:dyDescent="0.35">
      <c r="A5" s="10" t="s">
        <v>20</v>
      </c>
      <c r="B5" s="10" t="s">
        <v>21</v>
      </c>
      <c r="C5" s="11">
        <v>4400000</v>
      </c>
      <c r="D5" s="11">
        <v>22800000</v>
      </c>
      <c r="E5" s="11">
        <v>32400000</v>
      </c>
      <c r="F5" s="11">
        <v>21000000</v>
      </c>
      <c r="G5" s="11">
        <v>18800000</v>
      </c>
      <c r="H5" s="11">
        <v>10800000</v>
      </c>
      <c r="I5" s="11">
        <v>10800000</v>
      </c>
      <c r="J5" s="11">
        <v>13400000</v>
      </c>
      <c r="K5" s="11">
        <v>10800000</v>
      </c>
      <c r="L5" s="11">
        <v>10800000</v>
      </c>
      <c r="M5" s="11">
        <v>6600000</v>
      </c>
      <c r="N5" s="11">
        <v>4000000</v>
      </c>
      <c r="O5" s="11">
        <v>4000000</v>
      </c>
      <c r="P5" s="11">
        <v>1200000</v>
      </c>
      <c r="Q5" s="11">
        <v>800000</v>
      </c>
      <c r="R5" s="11">
        <v>600000</v>
      </c>
    </row>
    <row r="6" spans="1:18" x14ac:dyDescent="0.35">
      <c r="A6" s="10" t="s">
        <v>22</v>
      </c>
      <c r="B6" s="10" t="s">
        <v>23</v>
      </c>
      <c r="C6" s="11">
        <v>2200000</v>
      </c>
      <c r="D6" s="11">
        <v>11400000</v>
      </c>
      <c r="E6" s="11">
        <v>16200000</v>
      </c>
      <c r="F6" s="11">
        <v>10500000</v>
      </c>
      <c r="G6" s="11">
        <v>9400000</v>
      </c>
      <c r="H6" s="11">
        <v>5400000</v>
      </c>
      <c r="I6" s="11">
        <v>5400000</v>
      </c>
      <c r="J6" s="11">
        <v>6700000</v>
      </c>
      <c r="K6" s="11">
        <v>5400000</v>
      </c>
      <c r="L6" s="11">
        <v>5400000</v>
      </c>
      <c r="M6" s="11">
        <v>3300000</v>
      </c>
      <c r="N6" s="11">
        <v>2000000</v>
      </c>
      <c r="O6" s="11">
        <v>2000000</v>
      </c>
      <c r="P6" s="11">
        <v>600000</v>
      </c>
      <c r="Q6" s="11">
        <v>400000</v>
      </c>
      <c r="R6" s="11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FE17-8079-4A9D-B438-E0B21F4E587C}">
  <dimension ref="A1:C6"/>
  <sheetViews>
    <sheetView tabSelected="1" workbookViewId="0">
      <selection activeCell="E13" sqref="E13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20.7265625" bestFit="1" customWidth="1"/>
  </cols>
  <sheetData>
    <row r="1" spans="1:3" x14ac:dyDescent="0.35">
      <c r="A1" s="9" t="s">
        <v>12</v>
      </c>
      <c r="B1" s="9" t="s">
        <v>13</v>
      </c>
      <c r="C1" s="9" t="s">
        <v>43</v>
      </c>
    </row>
    <row r="2" spans="1:3" ht="13.5" customHeight="1" x14ac:dyDescent="0.35">
      <c r="A2" s="10" t="s">
        <v>14</v>
      </c>
      <c r="B2" s="10" t="s">
        <v>15</v>
      </c>
      <c r="C2" s="12">
        <v>100000</v>
      </c>
    </row>
    <row r="3" spans="1:3" x14ac:dyDescent="0.35">
      <c r="A3" s="10" t="s">
        <v>16</v>
      </c>
      <c r="B3" s="10" t="s">
        <v>17</v>
      </c>
      <c r="C3" s="12">
        <v>200000</v>
      </c>
    </row>
    <row r="4" spans="1:3" x14ac:dyDescent="0.35">
      <c r="A4" s="10" t="s">
        <v>18</v>
      </c>
      <c r="B4" s="10" t="s">
        <v>19</v>
      </c>
      <c r="C4" s="12">
        <v>200000</v>
      </c>
    </row>
    <row r="5" spans="1:3" x14ac:dyDescent="0.35">
      <c r="A5" s="10" t="s">
        <v>20</v>
      </c>
      <c r="B5" s="10" t="s">
        <v>21</v>
      </c>
      <c r="C5" s="12">
        <v>150000</v>
      </c>
    </row>
    <row r="6" spans="1:3" ht="15.5" customHeight="1" x14ac:dyDescent="0.35">
      <c r="A6" s="10" t="s">
        <v>22</v>
      </c>
      <c r="B6" s="10" t="s">
        <v>23</v>
      </c>
      <c r="C6" s="12">
        <v>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432-7F49-4D1A-935B-6BC692D1EFE5}">
  <dimension ref="A1:B3"/>
  <sheetViews>
    <sheetView workbookViewId="0">
      <selection activeCell="F16" sqref="F16"/>
    </sheetView>
  </sheetViews>
  <sheetFormatPr defaultRowHeight="14.5" x14ac:dyDescent="0.35"/>
  <cols>
    <col min="1" max="1" width="16.90625" bestFit="1" customWidth="1"/>
  </cols>
  <sheetData>
    <row r="1" spans="1:2" x14ac:dyDescent="0.35">
      <c r="A1" s="9" t="s">
        <v>44</v>
      </c>
      <c r="B1" s="9" t="s">
        <v>45</v>
      </c>
    </row>
    <row r="2" spans="1:2" x14ac:dyDescent="0.35">
      <c r="A2" s="10" t="s">
        <v>46</v>
      </c>
      <c r="B2" s="12">
        <v>4</v>
      </c>
    </row>
    <row r="3" spans="1:2" x14ac:dyDescent="0.35">
      <c r="A3" s="10" t="s">
        <v>47</v>
      </c>
      <c r="B3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Parameter_Flow</vt:lpstr>
      <vt:lpstr>Parameter_Product</vt:lpstr>
      <vt:lpstr>Demand_Input</vt:lpstr>
      <vt:lpstr>Invent_Ex_Input</vt:lpstr>
      <vt:lpstr>Target and 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Ziyan (PSS SPM PCS SCP EP)</dc:creator>
  <cp:lastModifiedBy>Xu Ziyan (PSS SPM PCS SCP EP)</cp:lastModifiedBy>
  <dcterms:created xsi:type="dcterms:W3CDTF">2015-06-05T18:17:20Z</dcterms:created>
  <dcterms:modified xsi:type="dcterms:W3CDTF">2026-06-09T08:44:51Z</dcterms:modified>
</cp:coreProperties>
</file>